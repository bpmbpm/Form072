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i6\надежность\072\1\"/>
    </mc:Choice>
  </mc:AlternateContent>
  <bookViews>
    <workbookView xWindow="0" yWindow="0" windowWidth="25560" windowHeight="82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9" i="1" l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F3" i="1"/>
  <c r="E9" i="1"/>
  <c r="E8" i="1"/>
  <c r="E7" i="1"/>
  <c r="E6" i="1"/>
  <c r="E5" i="1"/>
  <c r="E4" i="1"/>
  <c r="X3" i="1" l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E3" i="1"/>
  <c r="E2" i="1"/>
  <c r="H3" i="1"/>
  <c r="G3" i="1"/>
  <c r="F2" i="1"/>
  <c r="H2" i="1"/>
  <c r="G2" i="1"/>
</calcChain>
</file>

<file path=xl/sharedStrings.xml><?xml version="1.0" encoding="utf-8"?>
<sst xmlns="http://schemas.openxmlformats.org/spreadsheetml/2006/main" count="8" uniqueCount="8">
  <si>
    <t>ТпрКО6|АБС ЦФТ|ОУ|БфКО22|Основная АБС банка|АО_ЦФТ|Урв1|CRM ФЛ-CRM ЮЛ|Кредиты ЮЛ|Сервер приложений: Apache Tomcat|Прин1|Ри2|Apache Software Foundation|9.0.85|Не применимо|Клс1|840|Не применимо|Лиц9|Арх3.3|Не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</si>
  <si>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ЮЛ|Среда исполнения: Oracle JDK |Прин1|Ри2|Oracle Inc.|17.0.11|Не применимо|Клс1|840|Не применимо|Лиц9|Арх3.3|Не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</si>
  <si>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ЮЛ|Системное ПО, ОС: Ред ОС Сервер|Прин1|Ри2|ООО «Ред Софт»|10.2|Не применимо|Клс1|810|Не применимо|Лиц9|Арх3.3|Не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</si>
  <si>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ЮЛ|Оборудование, сервер: Aquarius C86 |Прин1|Ри2|ГК «Аквариус»|T1F S28H|КлсоХХ|Клс1|810|Не применимо|Лиц9|Арх3.3|Не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</si>
  <si>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ЮЛ|СУБД: Postgres Pro Enterprise|Прин1|Ри2|ООО «Постгрес Про»|15.6.1|Не применимо|Клс1|810|Не применимо|Лиц9|Арх3.2|Не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</si>
  <si>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ЮЛ|Системное ПО, ОС: Ред ОС Сервер|Прин1|Ри2|ООО «Ред Софт»|10.2|Не применимо|Клс1|810|Не применимо|Лиц9|Арх3.2|Не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</si>
  <si>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ЮЛ|Оборудование сервера: Aquarius C86 |Прин1|Ри2|ГК «Аквариус»|T1F D88|КлсоХХ|Клс1|810|Не применимо|Лиц9|Арх3.2|Не применимо|Закуп5|Поддерж4|Авт1|Обнв4|Уязв1|Упр1|ФСТЭК9|Не применимо|</t>
  </si>
  <si>
    <t>ТпрКО6|АБС ЦФТ|ОУ|БфКО22|Основная АБС банка|АО_ЦФТ|Урв1|CRM ФЛ-CRM ЮЛ|Кредиты ЮЛ|Прикладное ПО: ЦФТ-Банк Платформы 2MCA DBI|Прин1|Ри2|АО ЦФТ|2.9.3|Не применимо|Клс1|810|Не применимо|Лиц9|Арх3.3|Не применимо|Закуп5|Поддерж4|Авт1|Обнв4|Уязв1|Упр1|ФСТЭК9|Не применимо|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</si>
</sst>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rgb="FF00B050"/>
      <name val="Arial"/>
      <family val="2"/>
      <charset val="204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X9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4" max="4" width="41.5703125" customWidth="1"/>
    <col min="5" max="5" width="18" style="1" customWidth="1"/>
    <col min="6" max="6" width="18.140625" customWidth="1"/>
    <col min="7" max="7" width="23.140625" customWidth="1"/>
    <col min="8" max="8" width="24.85546875" customWidth="1"/>
    <col min="9" max="9" width="29" customWidth="1"/>
    <col min="10" max="10" width="23.7109375" customWidth="1"/>
    <col min="14" max="14" width="35.28515625" customWidth="1"/>
    <col min="17" max="17" width="12.42578125" customWidth="1"/>
    <col min="22" max="22" width="14.42578125" customWidth="1"/>
  </cols>
  <sheetData>
    <row r="1" spans="4:24" x14ac:dyDescent="0.25">
      <c r="E1" s="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</row>
    <row r="2" spans="4:24" x14ac:dyDescent="0.25">
      <c r="D2" t="s">
        <v>7</v>
      </c>
      <c r="E2" s="2" t="str">
        <f>MID($D2,1, FIND("|",$D2)-1)</f>
        <v>ТпрКО6</v>
      </c>
      <c r="F2" s="3" t="str">
        <f>MID($D2,
   FIND("@@@", SUBSTITUTE($D2, "|", "@@@", 1)) + 1,
   FIND("###", SUBSTITUTE($D2, "|", "###", 2)) - FIND("@@@", SUBSTITUTE($D2, "|", "@@@", 1)) - 1
)</f>
        <v>АБС ЦФТ</v>
      </c>
      <c r="G2" s="3" t="str">
        <f>MID($D2,
   FIND("@@@", SUBSTITUTE($D2, "|", "@@@", 2)) + 1,
   FIND("###", SUBSTITUTE($D2, "|", "###", 3)) - FIND("@@@", SUBSTITUTE($D2, "|", "@@@", 2)) - 1
)</f>
        <v>ОУ</v>
      </c>
      <c r="H2" s="3" t="str">
        <f>MID($D2,
   FIND("@@@", SUBSTITUTE($D2, "|", "@@@", 3)) + 1,
   FIND("###", SUBSTITUTE($D2, "|", "###", 4)) - FIND("@@@", SUBSTITUTE($D2, "|", "@@@", 3)) - 1
)</f>
        <v>БфКО22</v>
      </c>
      <c r="I2" s="3" t="str">
        <f>MID($D2,
   FIND("@@@", SUBSTITUTE($D2, "|", "@@@", 4)) + 1,
   FIND("###", SUBSTITUTE($D2, "|", "###", 5)) - FIND("@@@", SUBSTITUTE($D2, "|", "@@@", 4)) - 1
)</f>
        <v>Основная АБС банка</v>
      </c>
      <c r="J2" s="3" t="str">
        <f>MID($D2,
   FIND("@@@", SUBSTITUTE($D2, "|", "@@@", 5)) + 1,
   FIND("###", SUBSTITUTE($D2, "|", "###", 6)) - FIND("@@@", SUBSTITUTE($D2, "|", "@@@", 5)) - 1
)</f>
        <v>АО_ЦФТ</v>
      </c>
      <c r="K2" s="3" t="str">
        <f>MID($D2,
   FIND("@@@", SUBSTITUTE($D2, "|", "@@@", 6)) + 1,
   FIND("###", SUBSTITUTE($D2, "|", "###", 7)) - FIND("@@@", SUBSTITUTE($D2, "|", "@@@", 6)) - 1
)</f>
        <v>Урв1</v>
      </c>
      <c r="L2" s="3" t="str">
        <f>MID($D2,
   FIND("@@@", SUBSTITUTE($D2, "|", "@@@", 7)) + 1,
   FIND("###", SUBSTITUTE($D2, "|", "###", 8)) - FIND("@@@", SUBSTITUTE($D2, "|", "@@@", 7)) - 1
)</f>
        <v>CRM ФЛ-CRM ЮЛ</v>
      </c>
      <c r="M2" s="3" t="str">
        <f>MID($D2,
   FIND("@@@", SUBSTITUTE($D2, "|", "@@@", 8)) + 1,
   FIND("###", SUBSTITUTE($D2, "|", "###", 9)) - FIND("@@@", SUBSTITUTE($D2, "|", "@@@", 8)) - 1
)</f>
        <v>Кредиты ЮЛ</v>
      </c>
      <c r="N2" s="3" t="str">
        <f>MID($D2,
   FIND("@@@", SUBSTITUTE($D2, "|", "@@@", 9)) + 1,
   FIND("###", SUBSTITUTE($D2, "|", "###", 10)) - FIND("@@@", SUBSTITUTE($D2, "|", "@@@", 9)) - 1
)</f>
        <v>Прикладное ПО: ЦФТ-Банк Платформы 2MCA DBI</v>
      </c>
      <c r="O2" s="3" t="str">
        <f>MID($D2,
   FIND("@@@", SUBSTITUTE($D2, "|", "@@@", 10)) + 1,
   FIND("###", SUBSTITUTE($D2, "|", "###", 11)) - FIND("@@@", SUBSTITUTE($D2, "|", "@@@", 10)) - 1
)</f>
        <v>Прин1</v>
      </c>
      <c r="P2" s="3" t="str">
        <f>MID($D2,
   FIND("@@@", SUBSTITUTE($D2, "|", "@@@", 11)) + 1,
   FIND("###", SUBSTITUTE($D2, "|", "###", 12)) - FIND("@@@", SUBSTITUTE($D2, "|", "@@@", 11)) - 1
)</f>
        <v>Ри2</v>
      </c>
      <c r="Q2" s="3" t="str">
        <f>MID($D2,
   FIND("@@@", SUBSTITUTE($D2, "|", "@@@", 12)) + 1,
   FIND("###", SUBSTITUTE($D2, "|", "###", 13)) - FIND("@@@", SUBSTITUTE($D2, "|", "@@@", 12)) - 1
)</f>
        <v>АО ЦФТ</v>
      </c>
      <c r="R2" s="3" t="str">
        <f>MID($D2,
   FIND("@@@", SUBSTITUTE($D2, "|", "@@@", 13)) + 1,
   FIND("###", SUBSTITUTE($D2, "|", "###", 14)) - FIND("@@@", SUBSTITUTE($D2, "|", "@@@", 13)) - 1
)</f>
        <v>2.9.3</v>
      </c>
      <c r="S2" s="3" t="str">
        <f>MID($D2,
   FIND("@@@", SUBSTITUTE($D2, "|", "@@@", 14)) + 1,
   FIND("###", SUBSTITUTE($D2, "|", "###", 15)) - FIND("@@@", SUBSTITUTE($D2, "|", "@@@", 14)) - 1
)</f>
        <v>Не применимо</v>
      </c>
      <c r="T2" s="3" t="str">
        <f>MID($D2,
   FIND("@@@", SUBSTITUTE($D2, "|", "@@@", 15)) + 1,
   FIND("###", SUBSTITUTE($D2, "|", "###", 16)) - FIND("@@@", SUBSTITUTE($D2, "|", "@@@", 15)) - 1
)</f>
        <v>Клс1</v>
      </c>
      <c r="U2" s="3" t="str">
        <f>MID($D2,
   FIND("@@@", SUBSTITUTE($D2, "|", "@@@", 16)) + 1,
   FIND("###", SUBSTITUTE($D2, "|", "###", 17)) - FIND("@@@", SUBSTITUTE($D2, "|", "@@@", 16)) - 1
)</f>
        <v>810</v>
      </c>
      <c r="V2" s="3" t="str">
        <f>MID($D2,
   FIND("@@@", SUBSTITUTE($D2, "|", "@@@", 17)) + 1,
   FIND("###", SUBSTITUTE($D2, "|", "###", 18)) - FIND("@@@", SUBSTITUTE($D2, "|", "@@@", 17)) - 1
)</f>
        <v>Не применимо</v>
      </c>
      <c r="W2" s="3" t="str">
        <f>MID($D2,
   FIND("@@@", SUBSTITUTE($D2, "|", "@@@", 18)) + 1,
   FIND("###", SUBSTITUTE($D2, "|", "###", 19)) - FIND("@@@", SUBSTITUTE($D2, "|", "@@@", 18)) - 1
)</f>
        <v>Лиц9</v>
      </c>
      <c r="X2" s="3" t="str">
        <f>MID($D2,
   FIND("@@@", SUBSTITUTE($D2, "|", "@@@", 19)) + 1,
   FIND("###", SUBSTITUTE($D2, "|", "###", 20)) - FIND("@@@", SUBSTITUTE($D2, "|", "@@@", 19)) - 1
)</f>
        <v>Арх3.3</v>
      </c>
    </row>
    <row r="3" spans="4:24" x14ac:dyDescent="0.25">
      <c r="D3" t="s">
        <v>0</v>
      </c>
      <c r="E3" s="2" t="str">
        <f>MID($D3,1, FIND("|",$D3)-1)</f>
        <v>ТпрКО6</v>
      </c>
      <c r="F3" s="3" t="str">
        <f>MID($D3,
   FIND("@@@", SUBSTITUTE($D3, "|", "@@@", 1)) + 1,
   FIND("###", SUBSTITUTE($D3, "|", "###", 2)) - FIND("@@@", SUBSTITUTE($D3, "|", "@@@", 1)) - 1
)</f>
        <v>АБС ЦФТ</v>
      </c>
      <c r="G3" s="3" t="str">
        <f>MID($D3,
   FIND("@@@", SUBSTITUTE($D3, "|", "@@@", 2)) + 1,
   FIND("###", SUBSTITUTE($D3, "|", "###", 3)) - FIND("@@@", SUBSTITUTE($D3, "|", "@@@", 2)) - 1
)</f>
        <v>ОУ</v>
      </c>
      <c r="H3" s="3" t="str">
        <f>MID($D3,
   FIND("@@@", SUBSTITUTE($D3, "|", "@@@", 3)) + 1,
   FIND("###", SUBSTITUTE($D3, "|", "###", 4)) - FIND("@@@", SUBSTITUTE($D3, "|", "@@@", 3)) - 1
)</f>
        <v>БфКО22</v>
      </c>
      <c r="I3" s="3" t="str">
        <f>MID($D3,
   FIND("@@@", SUBSTITUTE($D3, "|", "@@@", 4)) + 1,
   FIND("###", SUBSTITUTE($D3, "|", "###", 5)) - FIND("@@@", SUBSTITUTE($D3, "|", "@@@", 4)) - 1
)</f>
        <v>Основная АБС банка</v>
      </c>
      <c r="J3" s="3" t="str">
        <f>MID($D3,
   FIND("@@@", SUBSTITUTE($D3, "|", "@@@", 5)) + 1,
   FIND("###", SUBSTITUTE($D3, "|", "###", 6)) - FIND("@@@", SUBSTITUTE($D3, "|", "@@@", 5)) - 1
)</f>
        <v>АО_ЦФТ</v>
      </c>
      <c r="K3" s="3" t="str">
        <f>MID($D3,
   FIND("@@@", SUBSTITUTE($D3, "|", "@@@", 6)) + 1,
   FIND("###", SUBSTITUTE($D3, "|", "###", 7)) - FIND("@@@", SUBSTITUTE($D3, "|", "@@@", 6)) - 1
)</f>
        <v>Урв1</v>
      </c>
      <c r="L3" s="3" t="str">
        <f>MID($D3,
   FIND("@@@", SUBSTITUTE($D3, "|", "@@@", 7)) + 1,
   FIND("###", SUBSTITUTE($D3, "|", "###", 8)) - FIND("@@@", SUBSTITUTE($D3, "|", "@@@", 7)) - 1
)</f>
        <v>CRM ФЛ-CRM ЮЛ</v>
      </c>
      <c r="M3" s="3" t="str">
        <f>MID($D3,
   FIND("@@@", SUBSTITUTE($D3, "|", "@@@", 8)) + 1,
   FIND("###", SUBSTITUTE($D3, "|", "###", 9)) - FIND("@@@", SUBSTITUTE($D3, "|", "@@@", 8)) - 1
)</f>
        <v>Кредиты ЮЛ</v>
      </c>
      <c r="N3" s="3" t="str">
        <f>MID($D3,
   FIND("@@@", SUBSTITUTE($D3, "|", "@@@", 9)) + 1,
   FIND("###", SUBSTITUTE($D3, "|", "###", 10)) - FIND("@@@", SUBSTITUTE($D3, "|", "@@@", 9)) - 1
)</f>
        <v>Сервер приложений: Apache Tomcat</v>
      </c>
      <c r="O3" s="3" t="str">
        <f>MID($D3,
   FIND("@@@", SUBSTITUTE($D3, "|", "@@@", 10)) + 1,
   FIND("###", SUBSTITUTE($D3, "|", "###", 11)) - FIND("@@@", SUBSTITUTE($D3, "|", "@@@", 10)) - 1
)</f>
        <v>Прин1</v>
      </c>
      <c r="P3" s="3" t="str">
        <f>MID($D3,
   FIND("@@@", SUBSTITUTE($D3, "|", "@@@", 11)) + 1,
   FIND("###", SUBSTITUTE($D3, "|", "###", 12)) - FIND("@@@", SUBSTITUTE($D3, "|", "@@@", 11)) - 1
)</f>
        <v>Ри2</v>
      </c>
      <c r="Q3" s="3" t="str">
        <f>MID($D3,
   FIND("@@@", SUBSTITUTE($D3, "|", "@@@", 12)) + 1,
   FIND("###", SUBSTITUTE($D3, "|", "###", 13)) - FIND("@@@", SUBSTITUTE($D3, "|", "@@@", 12)) - 1
)</f>
        <v>Apache Software Foundation</v>
      </c>
      <c r="R3" s="3" t="str">
        <f>MID($D3,
   FIND("@@@", SUBSTITUTE($D3, "|", "@@@", 13)) + 1,
   FIND("###", SUBSTITUTE($D3, "|", "###", 14)) - FIND("@@@", SUBSTITUTE($D3, "|", "@@@", 13)) - 1
)</f>
        <v>9.0.85</v>
      </c>
      <c r="S3" s="3" t="str">
        <f>MID($D3,
   FIND("@@@", SUBSTITUTE($D3, "|", "@@@", 14)) + 1,
   FIND("###", SUBSTITUTE($D3, "|", "###", 15)) - FIND("@@@", SUBSTITUTE($D3, "|", "@@@", 14)) - 1
)</f>
        <v>Не применимо</v>
      </c>
      <c r="T3" s="3" t="str">
        <f>MID($D3,
   FIND("@@@", SUBSTITUTE($D3, "|", "@@@", 15)) + 1,
   FIND("###", SUBSTITUTE($D3, "|", "###", 16)) - FIND("@@@", SUBSTITUTE($D3, "|", "@@@", 15)) - 1
)</f>
        <v>Клс1</v>
      </c>
      <c r="U3" s="3" t="str">
        <f>MID($D3,
   FIND("@@@", SUBSTITUTE($D3, "|", "@@@", 16)) + 1,
   FIND("###", SUBSTITUTE($D3, "|", "###", 17)) - FIND("@@@", SUBSTITUTE($D3, "|", "@@@", 16)) - 1
)</f>
        <v>840</v>
      </c>
      <c r="V3" s="3" t="str">
        <f>MID($D3,
   FIND("@@@", SUBSTITUTE($D3, "|", "@@@", 17)) + 1,
   FIND("###", SUBSTITUTE($D3, "|", "###", 18)) - FIND("@@@", SUBSTITUTE($D3, "|", "@@@", 17)) - 1
)</f>
        <v>Не применимо</v>
      </c>
      <c r="W3" s="3" t="str">
        <f>MID($D3,
   FIND("@@@", SUBSTITUTE($D3, "|", "@@@", 18)) + 1,
   FIND("###", SUBSTITUTE($D3, "|", "###", 19)) - FIND("@@@", SUBSTITUTE($D3, "|", "@@@", 18)) - 1
)</f>
        <v>Лиц9</v>
      </c>
      <c r="X3" s="3" t="str">
        <f>MID($D3,
   FIND("@@@", SUBSTITUTE($D3, "|", "@@@", 19)) + 1,
   FIND("###", SUBSTITUTE($D3, "|", "###", 20)) - FIND("@@@", SUBSTITUTE($D3, "|", "@@@", 19)) - 1
)</f>
        <v>Арх3.3</v>
      </c>
    </row>
    <row r="4" spans="4:24" x14ac:dyDescent="0.25">
      <c r="D4" t="s">
        <v>1</v>
      </c>
      <c r="E4" s="2" t="str">
        <f t="shared" ref="E4:E9" si="0">MID($D4,1, FIND("|",$D4)-1)</f>
        <v>ТпрКО6</v>
      </c>
      <c r="F4" s="3" t="str">
        <f t="shared" ref="F4:F9" si="1">MID($D4,
   FIND("@@@", SUBSTITUTE($D4, "|", "@@@", 1)) + 1,
   FIND("###", SUBSTITUTE($D4, "|", "###", 2)) - FIND("@@@", SUBSTITUTE($D4, "|", "@@@", 1)) - 1
)</f>
        <v>АБС ЦФТ</v>
      </c>
      <c r="G4" s="3" t="str">
        <f t="shared" ref="G4:G9" si="2">MID($D4,
   FIND("@@@", SUBSTITUTE($D4, "|", "@@@", 2)) + 1,
   FIND("###", SUBSTITUTE($D4, "|", "###", 3)) - FIND("@@@", SUBSTITUTE($D4, "|", "@@@", 2)) - 1
)</f>
        <v>ОУ</v>
      </c>
      <c r="H4" s="3" t="str">
        <f t="shared" ref="H4:H9" si="3">MID($D4,
   FIND("@@@", SUBSTITUTE($D4, "|", "@@@", 3)) + 1,
   FIND("###", SUBSTITUTE($D4, "|", "###", 4)) - FIND("@@@", SUBSTITUTE($D4, "|", "@@@", 3)) - 1
)</f>
        <v>БфКО22</v>
      </c>
      <c r="I4" s="3" t="str">
        <f t="shared" ref="I4:I9" si="4">MID($D4,
   FIND("@@@", SUBSTITUTE($D4, "|", "@@@", 4)) + 1,
   FIND("###", SUBSTITUTE($D4, "|", "###", 5)) - FIND("@@@", SUBSTITUTE($D4, "|", "@@@", 4)) - 1
)</f>
        <v>Основная АБС банка</v>
      </c>
      <c r="J4" s="3" t="str">
        <f t="shared" ref="J4:J9" si="5">MID($D4,
   FIND("@@@", SUBSTITUTE($D4, "|", "@@@", 5)) + 1,
   FIND("###", SUBSTITUTE($D4, "|", "###", 6)) - FIND("@@@", SUBSTITUTE($D4, "|", "@@@", 5)) - 1
)</f>
        <v>АО_ЦФТ</v>
      </c>
      <c r="K4" s="3" t="str">
        <f t="shared" ref="K4:K9" si="6">MID($D4,
   FIND("@@@", SUBSTITUTE($D4, "|", "@@@", 6)) + 1,
   FIND("###", SUBSTITUTE($D4, "|", "###", 7)) - FIND("@@@", SUBSTITUTE($D4, "|", "@@@", 6)) - 1
)</f>
        <v>Урв1</v>
      </c>
      <c r="L4" s="3" t="str">
        <f t="shared" ref="L4:L9" si="7">MID($D4,
   FIND("@@@", SUBSTITUTE($D4, "|", "@@@", 7)) + 1,
   FIND("###", SUBSTITUTE($D4, "|", "###", 8)) - FIND("@@@", SUBSTITUTE($D4, "|", "@@@", 7)) - 1
)</f>
        <v>CRM ФЛ-CRM ЮЛ</v>
      </c>
      <c r="M4" s="3" t="str">
        <f t="shared" ref="M4:M9" si="8">MID($D4,
   FIND("@@@", SUBSTITUTE($D4, "|", "@@@", 8)) + 1,
   FIND("###", SUBSTITUTE($D4, "|", "###", 9)) - FIND("@@@", SUBSTITUTE($D4, "|", "@@@", 8)) - 1
)</f>
        <v>Кредиты ЮЛ</v>
      </c>
      <c r="N4" s="3" t="str">
        <f t="shared" ref="N4:N9" si="9">MID($D4,
   FIND("@@@", SUBSTITUTE($D4, "|", "@@@", 9)) + 1,
   FIND("###", SUBSTITUTE($D4, "|", "###", 10)) - FIND("@@@", SUBSTITUTE($D4, "|", "@@@", 9)) - 1
)</f>
        <v xml:space="preserve">Среда исполнения: Oracle JDK </v>
      </c>
      <c r="O4" s="3" t="str">
        <f t="shared" ref="O4:O9" si="10">MID($D4,
   FIND("@@@", SUBSTITUTE($D4, "|", "@@@", 10)) + 1,
   FIND("###", SUBSTITUTE($D4, "|", "###", 11)) - FIND("@@@", SUBSTITUTE($D4, "|", "@@@", 10)) - 1
)</f>
        <v>Прин1</v>
      </c>
      <c r="P4" s="3" t="str">
        <f t="shared" ref="P4:P9" si="11">MID($D4,
   FIND("@@@", SUBSTITUTE($D4, "|", "@@@", 11)) + 1,
   FIND("###", SUBSTITUTE($D4, "|", "###", 12)) - FIND("@@@", SUBSTITUTE($D4, "|", "@@@", 11)) - 1
)</f>
        <v>Ри2</v>
      </c>
      <c r="Q4" s="3" t="str">
        <f t="shared" ref="Q4:Q9" si="12">MID($D4,
   FIND("@@@", SUBSTITUTE($D4, "|", "@@@", 12)) + 1,
   FIND("###", SUBSTITUTE($D4, "|", "###", 13)) - FIND("@@@", SUBSTITUTE($D4, "|", "@@@", 12)) - 1
)</f>
        <v>Oracle Inc.</v>
      </c>
      <c r="R4" s="3" t="str">
        <f t="shared" ref="R4:R9" si="13">MID($D4,
   FIND("@@@", SUBSTITUTE($D4, "|", "@@@", 13)) + 1,
   FIND("###", SUBSTITUTE($D4, "|", "###", 14)) - FIND("@@@", SUBSTITUTE($D4, "|", "@@@", 13)) - 1
)</f>
        <v>17.0.11</v>
      </c>
      <c r="S4" s="3" t="str">
        <f t="shared" ref="S4:S9" si="14">MID($D4,
   FIND("@@@", SUBSTITUTE($D4, "|", "@@@", 14)) + 1,
   FIND("###", SUBSTITUTE($D4, "|", "###", 15)) - FIND("@@@", SUBSTITUTE($D4, "|", "@@@", 14)) - 1
)</f>
        <v>Не применимо</v>
      </c>
      <c r="T4" s="3" t="str">
        <f t="shared" ref="T4:T9" si="15">MID($D4,
   FIND("@@@", SUBSTITUTE($D4, "|", "@@@", 15)) + 1,
   FIND("###", SUBSTITUTE($D4, "|", "###", 16)) - FIND("@@@", SUBSTITUTE($D4, "|", "@@@", 15)) - 1
)</f>
        <v>Клс1</v>
      </c>
      <c r="U4" s="3" t="str">
        <f t="shared" ref="U4:U9" si="16">MID($D4,
   FIND("@@@", SUBSTITUTE($D4, "|", "@@@", 16)) + 1,
   FIND("###", SUBSTITUTE($D4, "|", "###", 17)) - FIND("@@@", SUBSTITUTE($D4, "|", "@@@", 16)) - 1
)</f>
        <v>840</v>
      </c>
      <c r="V4" s="3" t="str">
        <f t="shared" ref="V4:V9" si="17">MID($D4,
   FIND("@@@", SUBSTITUTE($D4, "|", "@@@", 17)) + 1,
   FIND("###", SUBSTITUTE($D4, "|", "###", 18)) - FIND("@@@", SUBSTITUTE($D4, "|", "@@@", 17)) - 1
)</f>
        <v>Не применимо</v>
      </c>
      <c r="W4" s="3" t="str">
        <f t="shared" ref="W4:W9" si="18">MID($D4,
   FIND("@@@", SUBSTITUTE($D4, "|", "@@@", 18)) + 1,
   FIND("###", SUBSTITUTE($D4, "|", "###", 19)) - FIND("@@@", SUBSTITUTE($D4, "|", "@@@", 18)) - 1
)</f>
        <v>Лиц9</v>
      </c>
      <c r="X4" s="3" t="str">
        <f t="shared" ref="X4:X9" si="19">MID($D4,
   FIND("@@@", SUBSTITUTE($D4, "|", "@@@", 19)) + 1,
   FIND("###", SUBSTITUTE($D4, "|", "###", 20)) - FIND("@@@", SUBSTITUTE($D4, "|", "@@@", 19)) - 1
)</f>
        <v>Арх3.3</v>
      </c>
    </row>
    <row r="5" spans="4:24" x14ac:dyDescent="0.25">
      <c r="D5" t="s">
        <v>2</v>
      </c>
      <c r="E5" s="2" t="str">
        <f t="shared" si="0"/>
        <v>ТпрКО6</v>
      </c>
      <c r="F5" s="3" t="str">
        <f t="shared" si="1"/>
        <v>АБС ЦФТ</v>
      </c>
      <c r="G5" s="3" t="str">
        <f t="shared" si="2"/>
        <v>ОУ</v>
      </c>
      <c r="H5" s="3" t="str">
        <f t="shared" si="3"/>
        <v>БфКО22</v>
      </c>
      <c r="I5" s="3" t="str">
        <f t="shared" si="4"/>
        <v>Основная АБС банка</v>
      </c>
      <c r="J5" s="3" t="str">
        <f t="shared" si="5"/>
        <v>АО_ЦФТ</v>
      </c>
      <c r="K5" s="3" t="str">
        <f t="shared" si="6"/>
        <v>Урв1</v>
      </c>
      <c r="L5" s="3" t="str">
        <f t="shared" si="7"/>
        <v>CRM ФЛ-CRM ЮЛ</v>
      </c>
      <c r="M5" s="3" t="str">
        <f t="shared" si="8"/>
        <v>Кредиты ЮЛ</v>
      </c>
      <c r="N5" s="3" t="str">
        <f t="shared" si="9"/>
        <v>Системное ПО, ОС: Ред ОС Сервер</v>
      </c>
      <c r="O5" s="3" t="str">
        <f t="shared" si="10"/>
        <v>Прин1</v>
      </c>
      <c r="P5" s="3" t="str">
        <f t="shared" si="11"/>
        <v>Ри2</v>
      </c>
      <c r="Q5" s="3" t="str">
        <f t="shared" si="12"/>
        <v>ООО «Ред Софт»</v>
      </c>
      <c r="R5" s="3" t="str">
        <f t="shared" si="13"/>
        <v>10.2</v>
      </c>
      <c r="S5" s="3" t="str">
        <f t="shared" si="14"/>
        <v>Не применимо</v>
      </c>
      <c r="T5" s="3" t="str">
        <f t="shared" si="15"/>
        <v>Клс1</v>
      </c>
      <c r="U5" s="3" t="str">
        <f t="shared" si="16"/>
        <v>810</v>
      </c>
      <c r="V5" s="3" t="str">
        <f t="shared" si="17"/>
        <v>Не применимо</v>
      </c>
      <c r="W5" s="3" t="str">
        <f t="shared" si="18"/>
        <v>Лиц9</v>
      </c>
      <c r="X5" s="3" t="str">
        <f t="shared" si="19"/>
        <v>Арх3.3</v>
      </c>
    </row>
    <row r="6" spans="4:24" x14ac:dyDescent="0.25">
      <c r="D6" t="s">
        <v>3</v>
      </c>
      <c r="E6" s="2" t="str">
        <f t="shared" si="0"/>
        <v>ТпрКО6</v>
      </c>
      <c r="F6" s="3" t="str">
        <f t="shared" si="1"/>
        <v>АБС ЦФТ</v>
      </c>
      <c r="G6" s="3" t="str">
        <f t="shared" si="2"/>
        <v>ОУ</v>
      </c>
      <c r="H6" s="3" t="str">
        <f t="shared" si="3"/>
        <v>БфКО22</v>
      </c>
      <c r="I6" s="3" t="str">
        <f t="shared" si="4"/>
        <v>Основная АБС банка</v>
      </c>
      <c r="J6" s="3" t="str">
        <f t="shared" si="5"/>
        <v>АО_ЦФТ</v>
      </c>
      <c r="K6" s="3" t="str">
        <f t="shared" si="6"/>
        <v>Урв1</v>
      </c>
      <c r="L6" s="3" t="str">
        <f t="shared" si="7"/>
        <v>CRM ФЛ-CRM ЮЛ</v>
      </c>
      <c r="M6" s="3" t="str">
        <f t="shared" si="8"/>
        <v>Кредиты ЮЛ</v>
      </c>
      <c r="N6" s="3" t="str">
        <f t="shared" si="9"/>
        <v xml:space="preserve">Оборудование, сервер: Aquarius C86 </v>
      </c>
      <c r="O6" s="3" t="str">
        <f t="shared" si="10"/>
        <v>Прин1</v>
      </c>
      <c r="P6" s="3" t="str">
        <f t="shared" si="11"/>
        <v>Ри2</v>
      </c>
      <c r="Q6" s="3" t="str">
        <f t="shared" si="12"/>
        <v>ГК «Аквариус»</v>
      </c>
      <c r="R6" s="3" t="str">
        <f t="shared" si="13"/>
        <v>T1F S28H</v>
      </c>
      <c r="S6" s="3" t="str">
        <f t="shared" si="14"/>
        <v>КлсоХХ</v>
      </c>
      <c r="T6" s="3" t="str">
        <f t="shared" si="15"/>
        <v>Клс1</v>
      </c>
      <c r="U6" s="3" t="str">
        <f t="shared" si="16"/>
        <v>810</v>
      </c>
      <c r="V6" s="3" t="str">
        <f t="shared" si="17"/>
        <v>Не применимо</v>
      </c>
      <c r="W6" s="3" t="str">
        <f t="shared" si="18"/>
        <v>Лиц9</v>
      </c>
      <c r="X6" s="3" t="str">
        <f t="shared" si="19"/>
        <v>Арх3.3</v>
      </c>
    </row>
    <row r="7" spans="4:24" x14ac:dyDescent="0.25">
      <c r="D7" t="s">
        <v>4</v>
      </c>
      <c r="E7" s="2" t="str">
        <f t="shared" si="0"/>
        <v>ТпрКО6</v>
      </c>
      <c r="F7" s="3" t="str">
        <f t="shared" si="1"/>
        <v>АБС ЦФТ</v>
      </c>
      <c r="G7" s="3" t="str">
        <f t="shared" si="2"/>
        <v>ОУ</v>
      </c>
      <c r="H7" s="3" t="str">
        <f t="shared" si="3"/>
        <v>БфКО22</v>
      </c>
      <c r="I7" s="3" t="str">
        <f t="shared" si="4"/>
        <v>Основная АБС банка</v>
      </c>
      <c r="J7" s="3" t="str">
        <f t="shared" si="5"/>
        <v>АО_ЦФТ</v>
      </c>
      <c r="K7" s="3" t="str">
        <f t="shared" si="6"/>
        <v>Урв1</v>
      </c>
      <c r="L7" s="3" t="str">
        <f t="shared" si="7"/>
        <v>CRM ФЛ-CRM ЮЛ</v>
      </c>
      <c r="M7" s="3" t="str">
        <f t="shared" si="8"/>
        <v>Кредиты ЮЛ</v>
      </c>
      <c r="N7" s="3" t="str">
        <f t="shared" si="9"/>
        <v>СУБД: Postgres Pro Enterprise</v>
      </c>
      <c r="O7" s="3" t="str">
        <f t="shared" si="10"/>
        <v>Прин1</v>
      </c>
      <c r="P7" s="3" t="str">
        <f t="shared" si="11"/>
        <v>Ри2</v>
      </c>
      <c r="Q7" s="3" t="str">
        <f t="shared" si="12"/>
        <v>ООО «Постгрес Про»</v>
      </c>
      <c r="R7" s="3" t="str">
        <f t="shared" si="13"/>
        <v>15.6.1</v>
      </c>
      <c r="S7" s="3" t="str">
        <f t="shared" si="14"/>
        <v>Не применимо</v>
      </c>
      <c r="T7" s="3" t="str">
        <f t="shared" si="15"/>
        <v>Клс1</v>
      </c>
      <c r="U7" s="3" t="str">
        <f t="shared" si="16"/>
        <v>810</v>
      </c>
      <c r="V7" s="3" t="str">
        <f t="shared" si="17"/>
        <v>Не применимо</v>
      </c>
      <c r="W7" s="3" t="str">
        <f t="shared" si="18"/>
        <v>Лиц9</v>
      </c>
      <c r="X7" s="3" t="str">
        <f t="shared" si="19"/>
        <v>Арх3.2</v>
      </c>
    </row>
    <row r="8" spans="4:24" x14ac:dyDescent="0.25">
      <c r="D8" t="s">
        <v>5</v>
      </c>
      <c r="E8" s="2" t="str">
        <f t="shared" si="0"/>
        <v>ТпрКО6</v>
      </c>
      <c r="F8" s="3" t="str">
        <f t="shared" si="1"/>
        <v>АБС ЦФТ</v>
      </c>
      <c r="G8" s="3" t="str">
        <f t="shared" si="2"/>
        <v>ОУ</v>
      </c>
      <c r="H8" s="3" t="str">
        <f t="shared" si="3"/>
        <v>БфКО22</v>
      </c>
      <c r="I8" s="3" t="str">
        <f t="shared" si="4"/>
        <v>Основная АБС банка</v>
      </c>
      <c r="J8" s="3" t="str">
        <f t="shared" si="5"/>
        <v>АО_ЦФТ</v>
      </c>
      <c r="K8" s="3" t="str">
        <f t="shared" si="6"/>
        <v>Урв1</v>
      </c>
      <c r="L8" s="3" t="str">
        <f t="shared" si="7"/>
        <v>CRM ФЛ-CRM ЮЛ</v>
      </c>
      <c r="M8" s="3" t="str">
        <f t="shared" si="8"/>
        <v>Кредиты ЮЛ</v>
      </c>
      <c r="N8" s="3" t="str">
        <f t="shared" si="9"/>
        <v>Системное ПО, ОС: Ред ОС Сервер</v>
      </c>
      <c r="O8" s="3" t="str">
        <f t="shared" si="10"/>
        <v>Прин1</v>
      </c>
      <c r="P8" s="3" t="str">
        <f t="shared" si="11"/>
        <v>Ри2</v>
      </c>
      <c r="Q8" s="3" t="str">
        <f t="shared" si="12"/>
        <v>ООО «Ред Софт»</v>
      </c>
      <c r="R8" s="3" t="str">
        <f t="shared" si="13"/>
        <v>10.2</v>
      </c>
      <c r="S8" s="3" t="str">
        <f t="shared" si="14"/>
        <v>Не применимо</v>
      </c>
      <c r="T8" s="3" t="str">
        <f t="shared" si="15"/>
        <v>Клс1</v>
      </c>
      <c r="U8" s="3" t="str">
        <f t="shared" si="16"/>
        <v>810</v>
      </c>
      <c r="V8" s="3" t="str">
        <f t="shared" si="17"/>
        <v>Не применимо</v>
      </c>
      <c r="W8" s="3" t="str">
        <f t="shared" si="18"/>
        <v>Лиц9</v>
      </c>
      <c r="X8" s="3" t="str">
        <f t="shared" si="19"/>
        <v>Арх3.2</v>
      </c>
    </row>
    <row r="9" spans="4:24" x14ac:dyDescent="0.25">
      <c r="D9" t="s">
        <v>6</v>
      </c>
      <c r="E9" s="2" t="str">
        <f t="shared" si="0"/>
        <v>ТпрКО6</v>
      </c>
      <c r="F9" s="3" t="str">
        <f t="shared" si="1"/>
        <v>АБС ЦФТ</v>
      </c>
      <c r="G9" s="3" t="str">
        <f t="shared" si="2"/>
        <v>ОУ</v>
      </c>
      <c r="H9" s="3" t="str">
        <f t="shared" si="3"/>
        <v>БфКО22</v>
      </c>
      <c r="I9" s="3" t="str">
        <f t="shared" si="4"/>
        <v>Основная АБС банка</v>
      </c>
      <c r="J9" s="3" t="str">
        <f t="shared" si="5"/>
        <v>АО_ЦФТ</v>
      </c>
      <c r="K9" s="3" t="str">
        <f t="shared" si="6"/>
        <v>Урв1</v>
      </c>
      <c r="L9" s="3" t="str">
        <f t="shared" si="7"/>
        <v>CRM ФЛ-CRM ЮЛ</v>
      </c>
      <c r="M9" s="3" t="str">
        <f t="shared" si="8"/>
        <v>Кредиты ЮЛ</v>
      </c>
      <c r="N9" s="3" t="str">
        <f t="shared" si="9"/>
        <v xml:space="preserve">Оборудование сервера: Aquarius C86 </v>
      </c>
      <c r="O9" s="3" t="str">
        <f t="shared" si="10"/>
        <v>Прин1</v>
      </c>
      <c r="P9" s="3" t="str">
        <f t="shared" si="11"/>
        <v>Ри2</v>
      </c>
      <c r="Q9" s="3" t="str">
        <f t="shared" si="12"/>
        <v>ГК «Аквариус»</v>
      </c>
      <c r="R9" s="3" t="str">
        <f t="shared" si="13"/>
        <v>T1F D88</v>
      </c>
      <c r="S9" s="3" t="str">
        <f t="shared" si="14"/>
        <v>КлсоХХ</v>
      </c>
      <c r="T9" s="3" t="str">
        <f t="shared" si="15"/>
        <v>Клс1</v>
      </c>
      <c r="U9" s="3" t="str">
        <f t="shared" si="16"/>
        <v>810</v>
      </c>
      <c r="V9" s="3" t="str">
        <f t="shared" si="17"/>
        <v>Не применимо</v>
      </c>
      <c r="W9" s="3" t="str">
        <f t="shared" si="18"/>
        <v>Лиц9</v>
      </c>
      <c r="X9" s="3" t="str">
        <f t="shared" si="19"/>
        <v>Арх3.2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2025-12-09T13:48:03Z</dcterms:created>
  <dcterms:modified xsi:type="dcterms:W3CDTF">2025-12-23T14:27:56Z</dcterms:modified>
</cp:coreProperties>
</file>